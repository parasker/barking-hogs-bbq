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Pivot Table 1" sheetId="2" r:id="rId5"/>
    <sheet state="visible" name="2019" sheetId="3" r:id="rId6"/>
    <sheet state="visible" name="2020" sheetId="4" r:id="rId7"/>
    <sheet state="visible" name="2021" sheetId="5" r:id="rId8"/>
    <sheet state="visible" name="2022" sheetId="6" r:id="rId9"/>
    <sheet state="visible" name="2023" sheetId="7" r:id="rId10"/>
    <sheet state="visible" name="2024" sheetId="8" r:id="rId11"/>
    <sheet state="visible" name="2025" sheetId="9" r:id="rId12"/>
  </sheets>
  <definedNames>
    <definedName hidden="1" localSheetId="0" name="_xlnm._FilterDatabase">Summary!$A$1:$F$61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<sst xmlns="http://schemas.openxmlformats.org/spreadsheetml/2006/main" count="443" uniqueCount="80">
  <si>
    <t>Year</t>
  </si>
  <si>
    <t>Meat</t>
  </si>
  <si>
    <t>Participant</t>
  </si>
  <si>
    <t>Score</t>
  </si>
  <si>
    <t>Rank</t>
  </si>
  <si>
    <t>Location</t>
  </si>
  <si>
    <t>Smoke on the Trails</t>
  </si>
  <si>
    <t>The Great Lenexa BBQ-Battle Kansas State Championship</t>
  </si>
  <si>
    <t>Smoke on the Bricks</t>
  </si>
  <si>
    <t>American Royal Open</t>
  </si>
  <si>
    <t>Meat Inferno</t>
  </si>
  <si>
    <t>SUM of Score</t>
  </si>
  <si>
    <t>Grand Total</t>
  </si>
  <si>
    <t>Brisket</t>
  </si>
  <si>
    <t>Andy</t>
  </si>
  <si>
    <t>Andy Total</t>
  </si>
  <si>
    <t>Brisket Total</t>
  </si>
  <si>
    <t>Chicken</t>
  </si>
  <si>
    <t>Eric</t>
  </si>
  <si>
    <t>Eric Total</t>
  </si>
  <si>
    <t>Jack</t>
  </si>
  <si>
    <t>Jack Total</t>
  </si>
  <si>
    <t>James</t>
  </si>
  <si>
    <t>James Total</t>
  </si>
  <si>
    <t>Sudheer</t>
  </si>
  <si>
    <t>Sudheer Total</t>
  </si>
  <si>
    <t>Chicken Total</t>
  </si>
  <si>
    <t>Pork</t>
  </si>
  <si>
    <t>Mike</t>
  </si>
  <si>
    <t>Mike Total</t>
  </si>
  <si>
    <t>Tan</t>
  </si>
  <si>
    <t>Tan Total</t>
  </si>
  <si>
    <t>Pork Total</t>
  </si>
  <si>
    <t>Ribs</t>
  </si>
  <si>
    <t>Brad</t>
  </si>
  <si>
    <t>Brad Total</t>
  </si>
  <si>
    <t>Grant</t>
  </si>
  <si>
    <t>Grant Total</t>
  </si>
  <si>
    <t>Kendall</t>
  </si>
  <si>
    <t>Kendall Total</t>
  </si>
  <si>
    <t>Ribs Total</t>
  </si>
  <si>
    <t>Competition</t>
  </si>
  <si>
    <t>Total Teams</t>
  </si>
  <si>
    <t>Member</t>
  </si>
  <si>
    <t>Team Totals</t>
  </si>
  <si>
    <t>Desert</t>
  </si>
  <si>
    <t>8 / 11</t>
  </si>
  <si>
    <t> </t>
  </si>
  <si>
    <t>Out of</t>
  </si>
  <si>
    <t>Beefsteak</t>
  </si>
  <si>
    <t>55 / 74</t>
  </si>
  <si>
    <t>Sausage</t>
  </si>
  <si>
    <t>61 / 120</t>
  </si>
  <si>
    <t>32 / 60</t>
  </si>
  <si>
    <t>39 / 77</t>
  </si>
  <si>
    <t>Amy</t>
  </si>
  <si>
    <t>6 / 14</t>
  </si>
  <si>
    <t>20 / 22</t>
  </si>
  <si>
    <t>Sides</t>
  </si>
  <si>
    <t>Turkey</t>
  </si>
  <si>
    <t>181 / 235</t>
  </si>
  <si>
    <t>131 / 266</t>
  </si>
  <si>
    <t>Veggies</t>
  </si>
  <si>
    <t>39 / 169</t>
  </si>
  <si>
    <t>Beans</t>
  </si>
  <si>
    <t>177 / 209</t>
  </si>
  <si>
    <t>Potato</t>
  </si>
  <si>
    <t>170 / 176</t>
  </si>
  <si>
    <t>Team Score and Rank (sides)</t>
  </si>
  <si>
    <t>10/113</t>
  </si>
  <si>
    <t>1/67</t>
  </si>
  <si>
    <t>Misc</t>
  </si>
  <si>
    <t>15/73</t>
  </si>
  <si>
    <t>21/22</t>
  </si>
  <si>
    <t>High Score</t>
  </si>
  <si>
    <t>55 / 223</t>
  </si>
  <si>
    <t>82 / 242</t>
  </si>
  <si>
    <t>77 / 173</t>
  </si>
  <si>
    <t>62 / 205</t>
  </si>
  <si>
    <t>64 / 176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</si>
</sst>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&quot;"/>
    </font>
    <font>
      <color rgb="FFFFFFFF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Font="1"/>
    <xf borderId="0" fillId="0" fontId="3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61" sheet="Summary"/>
  </cacheSource>
  <cacheFields>
    <cacheField name="Year" numFmtId="0">
      <sharedItems containsSemiMixedTypes="0" containsString="0" containsNumber="1" containsInteger="1">
        <n v="2019.0"/>
        <n v="2020.0"/>
        <n v="2021.0"/>
        <n v="2022.0"/>
        <n v="2023.0"/>
        <n v="2024.0"/>
        <n v="2025.0"/>
      </sharedItems>
    </cacheField>
    <cacheField name="Meat" numFmtId="0">
      <sharedItems>
        <s v="Chicken"/>
        <s v="Ribs"/>
        <s v="Pork"/>
        <s v="Brisket"/>
      </sharedItems>
    </cacheField>
    <cacheField name="Participant" numFmtId="0">
      <sharedItems>
        <s v="Sudheer"/>
        <s v="Kendall"/>
        <s v="Tan"/>
        <s v="Andy"/>
        <s v="Grant"/>
        <s v="Eric"/>
        <s v="Brad"/>
        <s v="Mike"/>
        <s v="James"/>
        <s v="Jack"/>
      </sharedItems>
    </cacheField>
    <cacheField name="Score" numFmtId="0">
      <sharedItems containsSemiMixedTypes="0" containsString="0" containsNumber="1">
        <n v="158.8344"/>
        <n v="159.9428"/>
        <n v="165.7028"/>
        <n v="146.8"/>
        <n v="158.2744"/>
        <n v="154.8116"/>
        <n v="161.0856"/>
        <n v="153.12"/>
        <n v="158.8116"/>
        <n v="163.9428"/>
        <n v="170.8228"/>
        <n v="170.2628"/>
        <n v="159.9656"/>
        <n v="141.6572"/>
        <n v="160.0"/>
        <n v="167.4172"/>
        <n v="173.12"/>
        <n v="166.2744"/>
        <n v="159.4056"/>
        <n v="160.5028"/>
        <n v="166.88"/>
        <n v="153.7144"/>
        <n v="156.5256"/>
        <n v="172.64"/>
        <n v="168.5372"/>
        <n v="151.92"/>
        <n v="162.8"/>
        <n v="162.2628"/>
        <n v="159.3828"/>
        <n v="169.7144"/>
        <n v="161.0972"/>
        <n v="167.9656"/>
        <n v="161.1428"/>
        <n v="169.7028"/>
        <n v="174.2972"/>
        <n v="154.8228"/>
        <n v="157.0628"/>
        <n v="172.0"/>
        <n v="166.8228"/>
        <n v="160.5256"/>
        <n v="166.2628"/>
        <n v="152.0"/>
        <n v="157.0972"/>
        <n v="173.7028"/>
        <n v="165.6684"/>
        <n v="169.68"/>
        <n v="166.24"/>
        <n v="162.8228"/>
        <n v="174.2744"/>
        <n v="173.7144"/>
        <n v="174.8456"/>
        <n v="165.0856"/>
        <n v="165.1084"/>
      </sharedItems>
    </cacheField>
    <cacheField name="Rank" numFmtId="0">
      <sharedItems containsSemiMixedTypes="0" containsString="0" containsNumber="1" containsInteger="1">
        <n v="33.0"/>
        <n v="32.0"/>
        <n v="19.0"/>
        <n v="44.0"/>
        <n v="39.0"/>
        <n v="38.0"/>
        <n v="40.0"/>
        <n v="21.0"/>
        <n v="27.0"/>
        <n v="41.0"/>
        <n v="94.0"/>
        <n v="139.0"/>
        <n v="89.0"/>
        <n v="35.0"/>
        <n v="10.0"/>
        <n v="20.0"/>
        <n v="26.0"/>
        <n v="51.0"/>
        <n v="134.0"/>
        <n v="130.0"/>
        <n v="13.0"/>
        <n v="25.0"/>
        <n v="36.0"/>
        <n v="28.0"/>
        <n v="22.0"/>
        <n v="117.0"/>
        <n v="42.0"/>
        <n v="113.0"/>
        <n v="98.0"/>
        <n v="111.0"/>
        <n v="7.0"/>
        <n v="16.0"/>
        <n v="12.0"/>
        <n v="278.0"/>
        <n v="373.0"/>
        <n v="281.0"/>
        <n v="244.0"/>
        <n v="148.0"/>
        <n v="124.0"/>
        <n v="48.0"/>
        <n v="15.0"/>
        <n v="29.0"/>
        <n v="9.0"/>
        <n v="18.0"/>
        <n v="5.0"/>
        <n v="112.0"/>
        <n v="71.0"/>
        <n v="293.0"/>
        <n v="254.0"/>
      </sharedItems>
    </cacheField>
    <cacheField name="Location" numFmtId="0">
      <sharedItems>
        <s v="Smoke on the Trails"/>
        <s v="The Great Lenexa BBQ-Battle Kansas State Championship"/>
        <s v="Smoke on the Bricks"/>
        <s v="American Royal Open"/>
        <s v="Meat Infern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K49" firstHeaderRow="0" firstDataRow="3" firstDataCol="1"/>
  <pivotFields>
    <pivotField name="Year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Meat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Participant" axis="axisRow" compact="0" outline="0" multipleItemSelectionAllowed="1" showAll="0" sortType="ascending">
      <items>
        <item x="3"/>
        <item x="6"/>
        <item x="5"/>
        <item x="4"/>
        <item x="9"/>
        <item x="8"/>
        <item x="1"/>
        <item x="7"/>
        <item x="0"/>
        <item x="2"/>
        <item t="default"/>
      </items>
    </pivotField>
    <pivotField name="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Location" axis="axisRow" compact="0" outline="0" multipleItemSelectionAllowed="1" showAll="0" sortType="ascending">
      <items>
        <item x="3"/>
        <item x="4"/>
        <item x="2"/>
        <item x="0"/>
        <item x="1"/>
        <item t="default"/>
      </items>
    </pivotField>
  </pivotFields>
  <rowFields>
    <field x="1"/>
    <field x="2"/>
    <field x="5"/>
  </rowFields>
  <colFields>
    <field x="0"/>
  </colFields>
  <dataFields>
    <dataField name="SUM of Score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2019.0</v>
      </c>
      <c r="B2" s="2" t="str">
        <f>'2019'!B5</f>
        <v>Chicken</v>
      </c>
      <c r="C2" s="1" t="str">
        <f>'2019'!C5</f>
        <v>Sudheer</v>
      </c>
      <c r="D2" s="2">
        <f>'2019'!D5</f>
        <v>158.8344</v>
      </c>
      <c r="E2" s="2">
        <f>'2019'!E5</f>
        <v>33</v>
      </c>
      <c r="F2" s="3" t="s">
        <v>6</v>
      </c>
    </row>
    <row r="3">
      <c r="A3" s="1">
        <v>2019.0</v>
      </c>
      <c r="B3" s="2" t="str">
        <f>'2019'!B6</f>
        <v>Ribs</v>
      </c>
      <c r="C3" s="1" t="str">
        <f>'2019'!C6</f>
        <v>Kendall</v>
      </c>
      <c r="D3" s="2">
        <f>'2019'!D6</f>
        <v>159.9428</v>
      </c>
      <c r="E3" s="2">
        <f>'2019'!E6</f>
        <v>32</v>
      </c>
      <c r="F3" s="3" t="s">
        <v>6</v>
      </c>
    </row>
    <row r="4">
      <c r="A4" s="1">
        <v>2019.0</v>
      </c>
      <c r="B4" s="2" t="str">
        <f>'2019'!B7</f>
        <v>Pork</v>
      </c>
      <c r="C4" s="1" t="str">
        <f>'2019'!C7</f>
        <v>Tan</v>
      </c>
      <c r="D4" s="2">
        <f>'2019'!D7</f>
        <v>165.7028</v>
      </c>
      <c r="E4" s="2">
        <f>'2019'!E7</f>
        <v>19</v>
      </c>
      <c r="F4" s="3" t="s">
        <v>6</v>
      </c>
    </row>
    <row r="5">
      <c r="A5" s="1">
        <v>2019.0</v>
      </c>
      <c r="B5" s="2" t="str">
        <f>'2019'!B8</f>
        <v>Brisket</v>
      </c>
      <c r="C5" s="1" t="str">
        <f>'2019'!C8</f>
        <v>Andy</v>
      </c>
      <c r="D5" s="2">
        <f>'2019'!D8</f>
        <v>146.8</v>
      </c>
      <c r="E5" s="2">
        <f>'2019'!E8</f>
        <v>44</v>
      </c>
      <c r="F5" s="3" t="s">
        <v>6</v>
      </c>
    </row>
    <row r="6">
      <c r="A6" s="1">
        <v>2020.0</v>
      </c>
      <c r="B6" s="2" t="str">
        <f>'2020'!B5</f>
        <v>Chicken</v>
      </c>
      <c r="C6" s="2" t="str">
        <f>'2020'!C5</f>
        <v>Sudheer</v>
      </c>
      <c r="D6" s="2">
        <f>'2020'!D5</f>
        <v>158.2744</v>
      </c>
      <c r="E6" s="2">
        <f>'2020'!E5</f>
        <v>39</v>
      </c>
      <c r="F6" s="3" t="s">
        <v>6</v>
      </c>
    </row>
    <row r="7">
      <c r="A7" s="1">
        <v>2020.0</v>
      </c>
      <c r="B7" s="2" t="str">
        <f>'2020'!B6</f>
        <v>Ribs</v>
      </c>
      <c r="C7" s="2" t="str">
        <f>'2020'!C6</f>
        <v>Andy</v>
      </c>
      <c r="D7" s="2">
        <f>'2020'!D6</f>
        <v>154.8116</v>
      </c>
      <c r="E7" s="2">
        <f>'2020'!E6</f>
        <v>39</v>
      </c>
      <c r="F7" s="3" t="s">
        <v>6</v>
      </c>
    </row>
    <row r="8">
      <c r="A8" s="1">
        <v>2020.0</v>
      </c>
      <c r="B8" s="2" t="str">
        <f>'2020'!B7</f>
        <v>Pork</v>
      </c>
      <c r="C8" s="2" t="str">
        <f>'2020'!C7</f>
        <v>Tan</v>
      </c>
      <c r="D8" s="2">
        <f>'2020'!D7</f>
        <v>161.0856</v>
      </c>
      <c r="E8" s="2">
        <f>'2020'!E7</f>
        <v>38</v>
      </c>
      <c r="F8" s="3" t="s">
        <v>6</v>
      </c>
    </row>
    <row r="9">
      <c r="A9" s="1">
        <v>2020.0</v>
      </c>
      <c r="B9" s="2" t="str">
        <f>'2020'!B8</f>
        <v>Brisket</v>
      </c>
      <c r="C9" s="2" t="str">
        <f>'2020'!C8</f>
        <v>Andy</v>
      </c>
      <c r="D9" s="2">
        <f>'2020'!D8</f>
        <v>153.12</v>
      </c>
      <c r="E9" s="2">
        <f>'2020'!E8</f>
        <v>40</v>
      </c>
      <c r="F9" s="3" t="s">
        <v>6</v>
      </c>
    </row>
    <row r="10">
      <c r="A10" s="1">
        <v>2021.0</v>
      </c>
      <c r="B10" s="2" t="str">
        <f>'2021'!B5</f>
        <v>Chicken</v>
      </c>
      <c r="C10" s="2" t="str">
        <f>'2021'!C5</f>
        <v>Sudheer</v>
      </c>
      <c r="D10" s="2">
        <f>'2021'!D5</f>
        <v>158.8116</v>
      </c>
      <c r="E10" s="2">
        <f>'2021'!E5</f>
        <v>21</v>
      </c>
      <c r="F10" s="3" t="s">
        <v>6</v>
      </c>
    </row>
    <row r="11">
      <c r="A11" s="1">
        <v>2021.0</v>
      </c>
      <c r="B11" s="2" t="str">
        <f>'2021'!B6</f>
        <v>Ribs</v>
      </c>
      <c r="C11" s="2" t="str">
        <f>'2021'!C6</f>
        <v>Grant</v>
      </c>
      <c r="D11" s="2">
        <f>'2021'!D6</f>
        <v>163.9428</v>
      </c>
      <c r="E11" s="2">
        <f>'2021'!E6</f>
        <v>33</v>
      </c>
      <c r="F11" s="3" t="s">
        <v>6</v>
      </c>
    </row>
    <row r="12">
      <c r="A12" s="1">
        <v>2021.0</v>
      </c>
      <c r="B12" s="2" t="str">
        <f>'2021'!B7</f>
        <v>Pork</v>
      </c>
      <c r="C12" s="2" t="str">
        <f>'2021'!C7</f>
        <v>Tan</v>
      </c>
      <c r="D12" s="2">
        <f>'2021'!D7</f>
        <v>170.8228</v>
      </c>
      <c r="E12" s="2">
        <f>'2021'!E7</f>
        <v>27</v>
      </c>
      <c r="F12" s="3" t="s">
        <v>6</v>
      </c>
    </row>
    <row r="13">
      <c r="A13" s="1">
        <v>2021.0</v>
      </c>
      <c r="B13" s="2" t="str">
        <f>'2021'!B8</f>
        <v>Brisket</v>
      </c>
      <c r="C13" s="2" t="str">
        <f>'2021'!C8</f>
        <v>Andy</v>
      </c>
      <c r="D13" s="2">
        <f>'2021'!D8</f>
        <v>170.2628</v>
      </c>
      <c r="E13" s="2">
        <f>'2021'!E8</f>
        <v>41</v>
      </c>
      <c r="F13" s="3" t="s">
        <v>6</v>
      </c>
    </row>
    <row r="14">
      <c r="A14" s="1">
        <v>2021.0</v>
      </c>
      <c r="B14" s="2" t="str">
        <f>'2021'!B17</f>
        <v>Chicken</v>
      </c>
      <c r="C14" s="2" t="str">
        <f>'2021'!C17</f>
        <v>Sudheer</v>
      </c>
      <c r="D14" s="2">
        <f>'2021'!D17</f>
        <v>159.9656</v>
      </c>
      <c r="E14" s="2">
        <f>'2021'!E17</f>
        <v>94</v>
      </c>
      <c r="F14" s="3" t="s">
        <v>7</v>
      </c>
    </row>
    <row r="15">
      <c r="A15" s="1">
        <v>2021.0</v>
      </c>
      <c r="B15" s="2" t="str">
        <f>'2021'!B18</f>
        <v>Ribs</v>
      </c>
      <c r="C15" s="2" t="str">
        <f>'2021'!C18</f>
        <v>Grant</v>
      </c>
      <c r="D15" s="2">
        <f>'2021'!D18</f>
        <v>141.6572</v>
      </c>
      <c r="E15" s="2">
        <f>'2021'!E18</f>
        <v>139</v>
      </c>
      <c r="F15" s="3" t="s">
        <v>7</v>
      </c>
    </row>
    <row r="16">
      <c r="A16" s="1">
        <v>2021.0</v>
      </c>
      <c r="B16" s="2" t="str">
        <f>'2021'!B19</f>
        <v>Pork</v>
      </c>
      <c r="C16" s="2" t="str">
        <f>'2021'!C19</f>
        <v>Tan</v>
      </c>
      <c r="D16" s="2">
        <f>'2021'!D19</f>
        <v>160</v>
      </c>
      <c r="E16" s="2">
        <f>'2021'!E19</f>
        <v>89</v>
      </c>
      <c r="F16" s="3" t="s">
        <v>7</v>
      </c>
    </row>
    <row r="17">
      <c r="A17" s="1">
        <v>2021.0</v>
      </c>
      <c r="B17" s="2" t="str">
        <f>'2021'!B20</f>
        <v>Brisket</v>
      </c>
      <c r="C17" s="2" t="str">
        <f>'2021'!C20</f>
        <v>Andy</v>
      </c>
      <c r="D17" s="2">
        <f>'2021'!D20</f>
        <v>167.4172</v>
      </c>
      <c r="E17" s="2">
        <f>'2021'!E20</f>
        <v>35</v>
      </c>
      <c r="F17" s="3" t="s">
        <v>7</v>
      </c>
    </row>
    <row r="18">
      <c r="A18" s="1">
        <v>2022.0</v>
      </c>
      <c r="B18" s="2" t="str">
        <f>'2022'!B5</f>
        <v>Chicken</v>
      </c>
      <c r="C18" s="2" t="str">
        <f>'2022'!C5</f>
        <v>Sudheer</v>
      </c>
      <c r="D18" s="2">
        <f>'2022'!D5</f>
        <v>173.12</v>
      </c>
      <c r="E18" s="2">
        <f>'2022'!E5</f>
        <v>10</v>
      </c>
      <c r="F18" s="3" t="s">
        <v>6</v>
      </c>
    </row>
    <row r="19">
      <c r="A19" s="1">
        <v>2022.0</v>
      </c>
      <c r="B19" s="2" t="str">
        <f>'2022'!B6</f>
        <v>Ribs</v>
      </c>
      <c r="C19" s="2" t="str">
        <f>'2022'!C6</f>
        <v>Tan</v>
      </c>
      <c r="D19" s="2">
        <f>'2022'!D6</f>
        <v>166.2744</v>
      </c>
      <c r="E19" s="2">
        <f>'2022'!E6</f>
        <v>20</v>
      </c>
      <c r="F19" s="3" t="s">
        <v>6</v>
      </c>
    </row>
    <row r="20">
      <c r="A20" s="1">
        <v>2022.0</v>
      </c>
      <c r="B20" s="2" t="str">
        <f>'2022'!B7</f>
        <v>Pork</v>
      </c>
      <c r="C20" s="2" t="str">
        <f>'2022'!C7</f>
        <v>Tan</v>
      </c>
      <c r="D20" s="2">
        <f>'2022'!D7</f>
        <v>159.4056</v>
      </c>
      <c r="E20" s="2">
        <f>'2022'!E7</f>
        <v>32</v>
      </c>
      <c r="F20" s="3" t="s">
        <v>6</v>
      </c>
    </row>
    <row r="21">
      <c r="A21" s="1">
        <v>2022.0</v>
      </c>
      <c r="B21" s="2" t="str">
        <f>'2022'!B8</f>
        <v>Brisket</v>
      </c>
      <c r="C21" s="2" t="str">
        <f>'2022'!C8</f>
        <v>Andy</v>
      </c>
      <c r="D21" s="2">
        <f>'2022'!D8</f>
        <v>160.5028</v>
      </c>
      <c r="E21" s="2">
        <f>'2022'!E8</f>
        <v>26</v>
      </c>
      <c r="F21" s="3" t="s">
        <v>6</v>
      </c>
    </row>
    <row r="22">
      <c r="A22" s="1">
        <v>2022.0</v>
      </c>
      <c r="B22" s="2" t="str">
        <f>'2022'!B16</f>
        <v>Chicken</v>
      </c>
      <c r="C22" s="2" t="str">
        <f>'2022'!C16</f>
        <v>Eric</v>
      </c>
      <c r="D22" s="2">
        <f>'2022'!D16</f>
        <v>166.88</v>
      </c>
      <c r="E22" s="2">
        <f>'2022'!E16</f>
        <v>51</v>
      </c>
      <c r="F22" s="3" t="s">
        <v>7</v>
      </c>
    </row>
    <row r="23">
      <c r="A23" s="1">
        <v>2022.0</v>
      </c>
      <c r="B23" s="2" t="str">
        <f>'2022'!B17</f>
        <v>Ribs</v>
      </c>
      <c r="C23" s="2" t="str">
        <f>'2022'!C17</f>
        <v>Brad</v>
      </c>
      <c r="D23" s="2">
        <f>'2022'!D17</f>
        <v>153.7144</v>
      </c>
      <c r="E23" s="2">
        <f>'2022'!E17</f>
        <v>134</v>
      </c>
      <c r="F23" s="3" t="s">
        <v>7</v>
      </c>
    </row>
    <row r="24">
      <c r="A24" s="1">
        <v>2022.0</v>
      </c>
      <c r="B24" s="2" t="str">
        <f>'2022'!B18</f>
        <v>Pork</v>
      </c>
      <c r="C24" s="2" t="str">
        <f>'2022'!C18</f>
        <v>Mike</v>
      </c>
      <c r="D24" s="2">
        <f>'2022'!D18</f>
        <v>156.5256</v>
      </c>
      <c r="E24" s="2">
        <f>'2022'!E18</f>
        <v>130</v>
      </c>
      <c r="F24" s="3" t="s">
        <v>7</v>
      </c>
    </row>
    <row r="25">
      <c r="A25" s="1">
        <v>2022.0</v>
      </c>
      <c r="B25" s="2" t="str">
        <f>'2022'!B19</f>
        <v>Brisket</v>
      </c>
      <c r="C25" s="2" t="str">
        <f>'2022'!C19</f>
        <v>Andy</v>
      </c>
      <c r="D25" s="2">
        <f>'2022'!D19</f>
        <v>172.64</v>
      </c>
      <c r="E25" s="2">
        <f>'2022'!E19</f>
        <v>13</v>
      </c>
      <c r="F25" s="3" t="s">
        <v>7</v>
      </c>
    </row>
    <row r="26">
      <c r="A26" s="1">
        <v>2023.0</v>
      </c>
      <c r="B26" s="2" t="str">
        <f>'2023'!B5</f>
        <v>Chicken</v>
      </c>
      <c r="C26" s="2" t="str">
        <f>'2023'!C5</f>
        <v>Sudheer</v>
      </c>
      <c r="D26" s="2">
        <f>'2023'!D5</f>
        <v>168.5372</v>
      </c>
      <c r="E26" s="2">
        <f>'2023'!E5</f>
        <v>25</v>
      </c>
      <c r="F26" s="3" t="s">
        <v>6</v>
      </c>
    </row>
    <row r="27">
      <c r="A27" s="1">
        <v>2023.0</v>
      </c>
      <c r="B27" s="2" t="str">
        <f>'2023'!B6</f>
        <v>Ribs</v>
      </c>
      <c r="C27" s="2" t="str">
        <f>'2023'!C6</f>
        <v>Grant</v>
      </c>
      <c r="D27" s="2">
        <f>'2023'!D6</f>
        <v>151.92</v>
      </c>
      <c r="E27" s="2">
        <f>'2023'!E6</f>
        <v>36</v>
      </c>
      <c r="F27" s="3" t="s">
        <v>6</v>
      </c>
    </row>
    <row r="28">
      <c r="A28" s="1">
        <v>2023.0</v>
      </c>
      <c r="B28" s="2" t="str">
        <f>'2023'!B7</f>
        <v>Pork</v>
      </c>
      <c r="C28" s="2" t="str">
        <f>'2023'!C7</f>
        <v>Tan</v>
      </c>
      <c r="D28" s="2">
        <f>'2023'!D7</f>
        <v>162.8</v>
      </c>
      <c r="E28" s="2">
        <f>'2023'!E7</f>
        <v>28</v>
      </c>
      <c r="F28" s="3" t="s">
        <v>6</v>
      </c>
    </row>
    <row r="29">
      <c r="A29" s="1">
        <v>2023.0</v>
      </c>
      <c r="B29" s="2" t="str">
        <f>'2023'!B8</f>
        <v>Brisket</v>
      </c>
      <c r="C29" s="2" t="str">
        <f>'2023'!C8</f>
        <v>Andy</v>
      </c>
      <c r="D29" s="2">
        <f>'2023'!D8</f>
        <v>162.2628</v>
      </c>
      <c r="E29" s="2">
        <f>'2023'!E8</f>
        <v>22</v>
      </c>
      <c r="F29" s="3" t="s">
        <v>6</v>
      </c>
    </row>
    <row r="30">
      <c r="A30" s="1">
        <v>2023.0</v>
      </c>
      <c r="B30" s="2" t="str">
        <f>'2023'!B16</f>
        <v>Chicken</v>
      </c>
      <c r="C30" s="2" t="str">
        <f>'2023'!C16</f>
        <v>Sudheer</v>
      </c>
      <c r="D30" s="2">
        <f>'2023'!D16</f>
        <v>159.3828</v>
      </c>
      <c r="E30" s="2">
        <f>'2023'!E16</f>
        <v>117</v>
      </c>
      <c r="F30" s="3" t="s">
        <v>7</v>
      </c>
    </row>
    <row r="31">
      <c r="A31" s="1">
        <v>2023.0</v>
      </c>
      <c r="B31" s="2" t="str">
        <f>'2023'!B17</f>
        <v>Ribs</v>
      </c>
      <c r="C31" s="2" t="str">
        <f>'2023'!C17</f>
        <v>Grant</v>
      </c>
      <c r="D31" s="2">
        <f>'2023'!D17</f>
        <v>169.7144</v>
      </c>
      <c r="E31" s="2">
        <f>'2023'!E17</f>
        <v>42</v>
      </c>
      <c r="F31" s="3" t="s">
        <v>7</v>
      </c>
    </row>
    <row r="32">
      <c r="A32" s="1">
        <v>2023.0</v>
      </c>
      <c r="B32" s="2" t="str">
        <f>'2023'!B18</f>
        <v>Pork</v>
      </c>
      <c r="C32" s="2" t="str">
        <f>'2023'!C18</f>
        <v>James</v>
      </c>
      <c r="D32" s="2">
        <f>'2023'!D18</f>
        <v>161.0972</v>
      </c>
      <c r="E32" s="2">
        <f>'2023'!E18</f>
        <v>113</v>
      </c>
      <c r="F32" s="3" t="s">
        <v>7</v>
      </c>
    </row>
    <row r="33">
      <c r="A33" s="1">
        <v>2023.0</v>
      </c>
      <c r="B33" s="2" t="str">
        <f>'2023'!B19</f>
        <v>Brisket</v>
      </c>
      <c r="C33" s="2" t="str">
        <f>'2023'!C19</f>
        <v>Andy</v>
      </c>
      <c r="D33" s="2">
        <f>'2023'!D19</f>
        <v>167.9656</v>
      </c>
      <c r="E33" s="2">
        <f>'2023'!E19</f>
        <v>38</v>
      </c>
      <c r="F33" s="3" t="s">
        <v>7</v>
      </c>
    </row>
    <row r="34">
      <c r="A34" s="1">
        <v>2024.0</v>
      </c>
      <c r="B34" s="2" t="str">
        <f>'2024'!B5</f>
        <v>Chicken</v>
      </c>
      <c r="C34" s="2" t="str">
        <f>'2024'!C5</f>
        <v>Sudheer</v>
      </c>
      <c r="D34" s="2">
        <f>'2024'!D5</f>
        <v>161.1428</v>
      </c>
      <c r="E34" s="2">
        <f>'2024'!E5</f>
        <v>98</v>
      </c>
      <c r="F34" s="3" t="s">
        <v>7</v>
      </c>
    </row>
    <row r="35">
      <c r="A35" s="1">
        <v>2024.0</v>
      </c>
      <c r="B35" s="2" t="str">
        <f>'2024'!B6</f>
        <v>Ribs</v>
      </c>
      <c r="C35" s="2" t="str">
        <f>'2024'!C6</f>
        <v>Grant</v>
      </c>
      <c r="D35" s="2">
        <f>'2024'!D6</f>
        <v>159.3828</v>
      </c>
      <c r="E35" s="2">
        <f>'2024'!E6</f>
        <v>111</v>
      </c>
      <c r="F35" s="3" t="s">
        <v>7</v>
      </c>
    </row>
    <row r="36">
      <c r="A36" s="1">
        <v>2024.0</v>
      </c>
      <c r="B36" s="2" t="str">
        <f>'2024'!B7</f>
        <v>Pork</v>
      </c>
      <c r="C36" s="2" t="str">
        <f>'2024'!C7</f>
        <v>Tan</v>
      </c>
      <c r="D36" s="2">
        <f>'2024'!D7</f>
        <v>169.7028</v>
      </c>
      <c r="E36" s="2">
        <f>'2024'!E7</f>
        <v>42</v>
      </c>
      <c r="F36" s="3" t="s">
        <v>7</v>
      </c>
    </row>
    <row r="37">
      <c r="A37" s="1">
        <v>2024.0</v>
      </c>
      <c r="B37" s="2" t="str">
        <f>'2024'!B8</f>
        <v>Brisket</v>
      </c>
      <c r="C37" s="2" t="str">
        <f>'2024'!C8</f>
        <v>Andy</v>
      </c>
      <c r="D37" s="2">
        <f>'2024'!D8</f>
        <v>174.2972</v>
      </c>
      <c r="E37" s="2">
        <f>'2024'!E8</f>
        <v>7</v>
      </c>
      <c r="F37" s="3" t="s">
        <v>7</v>
      </c>
    </row>
    <row r="38">
      <c r="A38" s="1">
        <v>2024.0</v>
      </c>
      <c r="B38" s="2" t="str">
        <f>'2024'!B17</f>
        <v>Chicken</v>
      </c>
      <c r="C38" s="2" t="str">
        <f>'2024'!C17</f>
        <v>Jack</v>
      </c>
      <c r="D38" s="2">
        <f>'2024'!D17</f>
        <v>154.8228</v>
      </c>
      <c r="E38" s="2">
        <f>'2024'!E17</f>
        <v>41</v>
      </c>
      <c r="F38" s="3" t="s">
        <v>8</v>
      </c>
    </row>
    <row r="39">
      <c r="A39" s="1">
        <v>2024.0</v>
      </c>
      <c r="B39" s="2" t="str">
        <f>'2024'!B18</f>
        <v>Ribs</v>
      </c>
      <c r="C39" s="2" t="str">
        <f>'2024'!C18</f>
        <v>Grant</v>
      </c>
      <c r="D39" s="2">
        <f>'2024'!D18</f>
        <v>157.0628</v>
      </c>
      <c r="E39" s="2">
        <f>'2024'!E18</f>
        <v>39</v>
      </c>
      <c r="F39" s="3" t="s">
        <v>8</v>
      </c>
    </row>
    <row r="40">
      <c r="A40" s="1">
        <v>2024.0</v>
      </c>
      <c r="B40" s="2" t="str">
        <f>'2024'!B19</f>
        <v>Pork</v>
      </c>
      <c r="C40" s="2" t="str">
        <f>'2024'!C19</f>
        <v>Tan</v>
      </c>
      <c r="D40" s="2">
        <f>'2024'!D19</f>
        <v>173.12</v>
      </c>
      <c r="E40" s="2">
        <f>'2024'!E19</f>
        <v>16</v>
      </c>
      <c r="F40" s="3" t="s">
        <v>8</v>
      </c>
    </row>
    <row r="41">
      <c r="A41" s="1">
        <v>2024.0</v>
      </c>
      <c r="B41" s="2" t="str">
        <f>'2024'!B20</f>
        <v>Brisket</v>
      </c>
      <c r="C41" s="2" t="str">
        <f>'2024'!C20</f>
        <v>Andy</v>
      </c>
      <c r="D41" s="2">
        <f>'2024'!D20</f>
        <v>172</v>
      </c>
      <c r="E41" s="2">
        <f>'2024'!E20</f>
        <v>12</v>
      </c>
      <c r="F41" s="3" t="s">
        <v>8</v>
      </c>
    </row>
    <row r="42">
      <c r="A42" s="1">
        <v>2024.0</v>
      </c>
      <c r="B42" s="2" t="str">
        <f>'2024'!B32</f>
        <v>Chicken</v>
      </c>
      <c r="C42" s="2" t="str">
        <f>'2024'!C32</f>
        <v>Sudheer</v>
      </c>
      <c r="D42" s="2">
        <f>'2024'!D32</f>
        <v>166.8228</v>
      </c>
      <c r="E42" s="2">
        <f>'2024'!E32</f>
        <v>278</v>
      </c>
      <c r="F42" s="3" t="s">
        <v>9</v>
      </c>
    </row>
    <row r="43">
      <c r="A43" s="1">
        <v>2024.0</v>
      </c>
      <c r="B43" s="2" t="str">
        <f>'2024'!B33</f>
        <v>Ribs</v>
      </c>
      <c r="C43" s="2" t="str">
        <f>'2024'!C33</f>
        <v>Grant</v>
      </c>
      <c r="D43" s="2">
        <f>'2024'!D33</f>
        <v>160.5256</v>
      </c>
      <c r="E43" s="2">
        <f>'2024'!E33</f>
        <v>373</v>
      </c>
      <c r="F43" s="3" t="s">
        <v>9</v>
      </c>
    </row>
    <row r="44">
      <c r="A44" s="1">
        <v>2024.0</v>
      </c>
      <c r="B44" s="2" t="str">
        <f>'2024'!B34</f>
        <v>Pork</v>
      </c>
      <c r="C44" s="2" t="str">
        <f>'2024'!C34</f>
        <v>James</v>
      </c>
      <c r="D44" s="2">
        <f>'2024'!D34</f>
        <v>165.7028</v>
      </c>
      <c r="E44" s="2">
        <f>'2024'!E34</f>
        <v>281</v>
      </c>
      <c r="F44" s="3" t="s">
        <v>9</v>
      </c>
    </row>
    <row r="45">
      <c r="A45" s="1">
        <v>2024.0</v>
      </c>
      <c r="B45" s="2" t="str">
        <f>'2024'!B35</f>
        <v>Brisket</v>
      </c>
      <c r="C45" s="2" t="str">
        <f>'2024'!C35</f>
        <v>Andy</v>
      </c>
      <c r="D45" s="2">
        <f>'2024'!D35</f>
        <v>166.2628</v>
      </c>
      <c r="E45" s="2">
        <f>'2024'!E35</f>
        <v>244</v>
      </c>
      <c r="F45" s="3" t="s">
        <v>9</v>
      </c>
    </row>
    <row r="46">
      <c r="A46" s="1">
        <v>2025.0</v>
      </c>
      <c r="B46" s="2" t="str">
        <f>'2025'!B5</f>
        <v>Chicken</v>
      </c>
      <c r="C46" s="2" t="str">
        <f>'2025'!C5</f>
        <v>Sudheer</v>
      </c>
      <c r="D46" s="2">
        <f>'2025'!D5</f>
        <v>152</v>
      </c>
      <c r="E46" s="2">
        <f>'2025'!E5</f>
        <v>148</v>
      </c>
      <c r="F46" s="3" t="s">
        <v>7</v>
      </c>
    </row>
    <row r="47">
      <c r="A47" s="1">
        <v>2025.0</v>
      </c>
      <c r="B47" s="2" t="str">
        <f>'2025'!B6</f>
        <v>Ribs</v>
      </c>
      <c r="C47" s="2" t="str">
        <f>'2025'!C6</f>
        <v>Grant</v>
      </c>
      <c r="D47" s="2">
        <f>'2025'!D6</f>
        <v>157.0972</v>
      </c>
      <c r="E47" s="2">
        <f>'2025'!E6</f>
        <v>124</v>
      </c>
      <c r="F47" s="3" t="s">
        <v>7</v>
      </c>
    </row>
    <row r="48">
      <c r="A48" s="1">
        <v>2025.0</v>
      </c>
      <c r="B48" s="2" t="str">
        <f>'2025'!B7</f>
        <v>Pork</v>
      </c>
      <c r="C48" s="2" t="str">
        <f>'2025'!C7</f>
        <v>Tan</v>
      </c>
      <c r="D48" s="2">
        <f>'2025'!D7</f>
        <v>169.7028</v>
      </c>
      <c r="E48" s="2">
        <f>'2025'!E7</f>
        <v>48</v>
      </c>
      <c r="F48" s="3" t="s">
        <v>7</v>
      </c>
    </row>
    <row r="49">
      <c r="A49" s="1">
        <v>2025.0</v>
      </c>
      <c r="B49" s="2" t="str">
        <f>'2025'!B8</f>
        <v>Brisket</v>
      </c>
      <c r="C49" s="2" t="str">
        <f>'2025'!C8</f>
        <v>Andy</v>
      </c>
      <c r="D49" s="2">
        <f>'2025'!D8</f>
        <v>173.7028</v>
      </c>
      <c r="E49" s="2">
        <f>'2025'!E8</f>
        <v>15</v>
      </c>
      <c r="F49" s="3" t="s">
        <v>7</v>
      </c>
    </row>
    <row r="50">
      <c r="A50" s="1">
        <v>2025.0</v>
      </c>
      <c r="B50" s="2" t="str">
        <f>'2025'!B18</f>
        <v>Chicken</v>
      </c>
      <c r="C50" s="2" t="str">
        <f>'2025'!C18</f>
        <v>James</v>
      </c>
      <c r="D50" s="2">
        <f>'2025'!D18</f>
        <v>172</v>
      </c>
      <c r="E50" s="2">
        <f>'2025'!E18</f>
        <v>29</v>
      </c>
      <c r="F50" s="3" t="s">
        <v>8</v>
      </c>
    </row>
    <row r="51">
      <c r="A51" s="1">
        <v>2025.0</v>
      </c>
      <c r="B51" s="2" t="str">
        <f>'2025'!B19</f>
        <v>Ribs</v>
      </c>
      <c r="C51" s="2" t="str">
        <f>'2025'!C19</f>
        <v>Grant</v>
      </c>
      <c r="D51" s="2">
        <f>'2025'!D19</f>
        <v>166.8228</v>
      </c>
      <c r="E51" s="2">
        <f>'2025'!E19</f>
        <v>38</v>
      </c>
      <c r="F51" s="3" t="s">
        <v>8</v>
      </c>
    </row>
    <row r="52">
      <c r="A52" s="1">
        <v>2025.0</v>
      </c>
      <c r="B52" s="2" t="str">
        <f>'2025'!B20</f>
        <v>Pork</v>
      </c>
      <c r="C52" s="2" t="str">
        <f>'2025'!C20</f>
        <v>Tan</v>
      </c>
      <c r="D52" s="2">
        <f>'2025'!D20</f>
        <v>165.6684</v>
      </c>
      <c r="E52" s="2">
        <f>'2025'!E20</f>
        <v>42</v>
      </c>
      <c r="F52" s="3" t="s">
        <v>8</v>
      </c>
    </row>
    <row r="53">
      <c r="A53" s="1">
        <v>2025.0</v>
      </c>
      <c r="B53" s="2" t="str">
        <f>'2025'!B21</f>
        <v>Brisket</v>
      </c>
      <c r="C53" s="2" t="str">
        <f>'2025'!C21</f>
        <v>Andy</v>
      </c>
      <c r="D53" s="2">
        <f>'2025'!D21</f>
        <v>169.68</v>
      </c>
      <c r="E53" s="2">
        <f>'2025'!E21</f>
        <v>29</v>
      </c>
      <c r="F53" s="3" t="s">
        <v>8</v>
      </c>
    </row>
    <row r="54">
      <c r="A54" s="1">
        <v>2025.0</v>
      </c>
      <c r="B54" s="2" t="str">
        <f>'2025'!B29</f>
        <v>Chicken</v>
      </c>
      <c r="C54" s="2" t="str">
        <f>'2025'!C29</f>
        <v>Sudheer</v>
      </c>
      <c r="D54" s="2">
        <f>'2025'!D29</f>
        <v>169.7144</v>
      </c>
      <c r="E54" s="2">
        <f>'2025'!E29</f>
        <v>9</v>
      </c>
      <c r="F54" s="3" t="s">
        <v>10</v>
      </c>
    </row>
    <row r="55">
      <c r="A55" s="1">
        <v>2025.0</v>
      </c>
      <c r="B55" s="2" t="str">
        <f>'2025'!B30</f>
        <v>Ribs</v>
      </c>
      <c r="C55" s="2" t="str">
        <f>'2025'!C30</f>
        <v>Grant</v>
      </c>
      <c r="D55" s="2">
        <f>'2025'!D30</f>
        <v>166.24</v>
      </c>
      <c r="E55" s="2">
        <f>'2025'!E30</f>
        <v>15</v>
      </c>
      <c r="F55" s="3" t="s">
        <v>10</v>
      </c>
    </row>
    <row r="56">
      <c r="A56" s="1">
        <v>2025.0</v>
      </c>
      <c r="B56" s="2" t="str">
        <f>'2025'!B31</f>
        <v>Pork</v>
      </c>
      <c r="C56" s="2" t="str">
        <f>'2025'!C31</f>
        <v>Tan</v>
      </c>
      <c r="D56" s="2">
        <f>'2025'!D31</f>
        <v>162.8228</v>
      </c>
      <c r="E56" s="2">
        <f>'2025'!E31</f>
        <v>18</v>
      </c>
      <c r="F56" s="3" t="s">
        <v>10</v>
      </c>
    </row>
    <row r="57">
      <c r="A57" s="1">
        <v>2025.0</v>
      </c>
      <c r="B57" s="2" t="str">
        <f>'2025'!B32</f>
        <v>Brisket</v>
      </c>
      <c r="C57" s="2" t="str">
        <f>'2025'!C32</f>
        <v>Andy</v>
      </c>
      <c r="D57" s="2">
        <f>'2025'!D32</f>
        <v>174.2744</v>
      </c>
      <c r="E57" s="2">
        <f>'2025'!E32</f>
        <v>5</v>
      </c>
      <c r="F57" s="3" t="s">
        <v>10</v>
      </c>
    </row>
    <row r="58">
      <c r="A58" s="1">
        <v>2025.0</v>
      </c>
      <c r="B58" s="2" t="str">
        <f>'2025'!B39</f>
        <v>Chicken</v>
      </c>
      <c r="C58" s="2" t="str">
        <f>'2025'!C39</f>
        <v>Sudheer</v>
      </c>
      <c r="D58" s="2">
        <f>'2025'!D39</f>
        <v>173.7144</v>
      </c>
      <c r="E58" s="2">
        <f>'2025'!E39</f>
        <v>112</v>
      </c>
      <c r="F58" s="3" t="s">
        <v>9</v>
      </c>
    </row>
    <row r="59">
      <c r="A59" s="1">
        <v>2025.0</v>
      </c>
      <c r="B59" s="2" t="str">
        <f>'2025'!B40</f>
        <v>Ribs</v>
      </c>
      <c r="C59" s="2" t="str">
        <f>'2025'!C40</f>
        <v>Grant</v>
      </c>
      <c r="D59" s="2">
        <f>'2025'!D40</f>
        <v>174.8456</v>
      </c>
      <c r="E59" s="2">
        <f>'2025'!E40</f>
        <v>71</v>
      </c>
      <c r="F59" s="3" t="s">
        <v>9</v>
      </c>
    </row>
    <row r="60">
      <c r="A60" s="1">
        <v>2025.0</v>
      </c>
      <c r="B60" s="2" t="str">
        <f>'2025'!B41</f>
        <v>Pork</v>
      </c>
      <c r="C60" s="2" t="str">
        <f>'2025'!C41</f>
        <v>Tan</v>
      </c>
      <c r="D60" s="2">
        <f>'2025'!D41</f>
        <v>165.0856</v>
      </c>
      <c r="E60" s="2">
        <f>'2025'!E41</f>
        <v>293</v>
      </c>
      <c r="F60" s="3" t="s">
        <v>9</v>
      </c>
    </row>
    <row r="61">
      <c r="A61" s="1">
        <v>2025.0</v>
      </c>
      <c r="B61" s="2" t="str">
        <f>'2025'!B42</f>
        <v>Brisket</v>
      </c>
      <c r="C61" s="2" t="str">
        <f>'2025'!C42</f>
        <v>Andy</v>
      </c>
      <c r="D61" s="2">
        <f>'2025'!D42</f>
        <v>165.1084</v>
      </c>
      <c r="E61" s="2">
        <f>'2025'!E42</f>
        <v>254</v>
      </c>
      <c r="F61" s="3" t="s">
        <v>9</v>
      </c>
    </row>
  </sheetData>
  <autoFilter ref="$A$1:$F$6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4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63"/>
    <col customWidth="1" min="5" max="5" width="15.13"/>
  </cols>
  <sheetData>
    <row r="1">
      <c r="B1" s="1" t="s">
        <v>41</v>
      </c>
      <c r="C1" s="1" t="s">
        <v>6</v>
      </c>
    </row>
    <row r="2">
      <c r="B2" s="1" t="s">
        <v>42</v>
      </c>
      <c r="C2" s="1">
        <v>53.0</v>
      </c>
    </row>
    <row r="4">
      <c r="B4" s="4" t="s">
        <v>1</v>
      </c>
      <c r="C4" s="4" t="s">
        <v>43</v>
      </c>
      <c r="D4" s="4" t="s">
        <v>3</v>
      </c>
      <c r="E4" s="4" t="s">
        <v>4</v>
      </c>
    </row>
    <row r="5">
      <c r="B5" s="1" t="s">
        <v>17</v>
      </c>
      <c r="C5" s="1" t="s">
        <v>24</v>
      </c>
      <c r="D5" s="1">
        <v>158.8344</v>
      </c>
      <c r="E5" s="1">
        <v>33.0</v>
      </c>
    </row>
    <row r="6">
      <c r="B6" s="1" t="s">
        <v>33</v>
      </c>
      <c r="C6" s="1" t="s">
        <v>38</v>
      </c>
      <c r="D6" s="1">
        <v>159.9428</v>
      </c>
      <c r="E6" s="1">
        <v>32.0</v>
      </c>
    </row>
    <row r="7">
      <c r="B7" s="1" t="s">
        <v>27</v>
      </c>
      <c r="C7" s="1" t="s">
        <v>30</v>
      </c>
      <c r="D7" s="1">
        <v>165.7028</v>
      </c>
      <c r="E7" s="1">
        <v>19.0</v>
      </c>
    </row>
    <row r="8">
      <c r="B8" s="1" t="s">
        <v>13</v>
      </c>
      <c r="C8" s="1" t="s">
        <v>14</v>
      </c>
      <c r="D8" s="1">
        <v>146.8</v>
      </c>
      <c r="E8" s="1">
        <v>44.0</v>
      </c>
    </row>
    <row r="9">
      <c r="A9" s="1" t="s">
        <v>44</v>
      </c>
      <c r="D9" s="5">
        <f>SUM(D5:D8)</f>
        <v>631.28</v>
      </c>
      <c r="E9" s="1">
        <v>34.0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63"/>
    <col customWidth="1" min="5" max="5" width="15.13"/>
  </cols>
  <sheetData>
    <row r="1">
      <c r="B1" s="1" t="s">
        <v>41</v>
      </c>
      <c r="C1" s="1" t="s">
        <v>6</v>
      </c>
    </row>
    <row r="2">
      <c r="B2" s="1" t="s">
        <v>42</v>
      </c>
      <c r="C2" s="1">
        <v>48.0</v>
      </c>
    </row>
    <row r="4">
      <c r="B4" s="4" t="s">
        <v>1</v>
      </c>
      <c r="C4" s="4" t="s">
        <v>43</v>
      </c>
      <c r="D4" s="4" t="s">
        <v>3</v>
      </c>
      <c r="E4" s="4" t="s">
        <v>4</v>
      </c>
    </row>
    <row r="5">
      <c r="B5" s="1" t="s">
        <v>17</v>
      </c>
      <c r="C5" s="1" t="s">
        <v>24</v>
      </c>
      <c r="D5" s="1">
        <v>158.2744</v>
      </c>
      <c r="E5" s="1">
        <v>39.0</v>
      </c>
    </row>
    <row r="6">
      <c r="B6" s="1" t="s">
        <v>33</v>
      </c>
      <c r="C6" s="1" t="s">
        <v>14</v>
      </c>
      <c r="D6" s="1">
        <v>154.8116</v>
      </c>
      <c r="E6" s="1">
        <v>39.0</v>
      </c>
    </row>
    <row r="7">
      <c r="B7" s="1" t="s">
        <v>27</v>
      </c>
      <c r="C7" s="1" t="s">
        <v>30</v>
      </c>
      <c r="D7" s="1">
        <v>161.0856</v>
      </c>
      <c r="E7" s="1">
        <v>38.0</v>
      </c>
    </row>
    <row r="8">
      <c r="B8" s="1" t="s">
        <v>13</v>
      </c>
      <c r="C8" s="1" t="s">
        <v>14</v>
      </c>
      <c r="D8" s="1">
        <v>153.12</v>
      </c>
      <c r="E8" s="1">
        <v>40.0</v>
      </c>
    </row>
    <row r="9">
      <c r="A9" s="1" t="s">
        <v>44</v>
      </c>
      <c r="D9" s="5">
        <f>SUM(D5:D8)</f>
        <v>627.2916</v>
      </c>
      <c r="E9" s="1">
        <v>41.0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63"/>
    <col customWidth="1" min="5" max="5" width="15.13"/>
  </cols>
  <sheetData>
    <row r="1">
      <c r="B1" s="1" t="s">
        <v>41</v>
      </c>
      <c r="C1" s="1" t="s">
        <v>6</v>
      </c>
    </row>
    <row r="2">
      <c r="B2" s="1" t="s">
        <v>42</v>
      </c>
      <c r="C2" s="1">
        <v>53.0</v>
      </c>
    </row>
    <row r="4">
      <c r="B4" s="4" t="s">
        <v>1</v>
      </c>
      <c r="C4" s="4" t="s">
        <v>43</v>
      </c>
      <c r="D4" s="4" t="s">
        <v>3</v>
      </c>
      <c r="E4" s="4" t="s">
        <v>4</v>
      </c>
      <c r="F4" s="6"/>
    </row>
    <row r="5">
      <c r="B5" s="1" t="s">
        <v>17</v>
      </c>
      <c r="C5" s="1" t="s">
        <v>24</v>
      </c>
      <c r="D5" s="1">
        <v>158.8116</v>
      </c>
      <c r="E5" s="1">
        <v>21.0</v>
      </c>
    </row>
    <row r="6">
      <c r="B6" s="1" t="s">
        <v>33</v>
      </c>
      <c r="C6" s="1" t="s">
        <v>36</v>
      </c>
      <c r="D6" s="1">
        <v>163.9428</v>
      </c>
      <c r="E6" s="1">
        <v>33.0</v>
      </c>
    </row>
    <row r="7">
      <c r="B7" s="1" t="s">
        <v>27</v>
      </c>
      <c r="C7" s="1" t="s">
        <v>30</v>
      </c>
      <c r="D7" s="1">
        <v>170.8228</v>
      </c>
      <c r="E7" s="1">
        <v>27.0</v>
      </c>
    </row>
    <row r="8">
      <c r="B8" s="1" t="s">
        <v>13</v>
      </c>
      <c r="C8" s="1" t="s">
        <v>14</v>
      </c>
      <c r="D8" s="1">
        <v>170.2628</v>
      </c>
      <c r="E8" s="1">
        <v>41.0</v>
      </c>
    </row>
    <row r="9">
      <c r="A9" s="1" t="s">
        <v>44</v>
      </c>
      <c r="D9" s="5">
        <f>SUM(D5:D8)</f>
        <v>663.84</v>
      </c>
      <c r="E9" s="1">
        <v>30.0</v>
      </c>
    </row>
    <row r="10">
      <c r="A10" s="1"/>
      <c r="B10" s="1" t="s">
        <v>45</v>
      </c>
      <c r="C10" s="1" t="s">
        <v>24</v>
      </c>
      <c r="D10" s="1">
        <v>166.2628</v>
      </c>
      <c r="E10" s="1" t="s">
        <v>46</v>
      </c>
    </row>
    <row r="13">
      <c r="B13" s="1" t="s">
        <v>41</v>
      </c>
      <c r="C13" s="7" t="s">
        <v>7</v>
      </c>
    </row>
    <row r="14">
      <c r="B14" s="1" t="s">
        <v>42</v>
      </c>
      <c r="C14" s="1">
        <v>145.0</v>
      </c>
    </row>
    <row r="16">
      <c r="B16" s="4" t="s">
        <v>1</v>
      </c>
      <c r="C16" s="4" t="s">
        <v>43</v>
      </c>
      <c r="D16" s="4" t="s">
        <v>3</v>
      </c>
      <c r="E16" s="4" t="s">
        <v>4</v>
      </c>
      <c r="F16" s="6"/>
    </row>
    <row r="17">
      <c r="B17" s="1" t="s">
        <v>17</v>
      </c>
      <c r="C17" s="1" t="s">
        <v>24</v>
      </c>
      <c r="D17" s="1">
        <v>159.9656</v>
      </c>
      <c r="E17" s="1">
        <v>94.0</v>
      </c>
    </row>
    <row r="18">
      <c r="B18" s="1" t="s">
        <v>33</v>
      </c>
      <c r="C18" s="1" t="s">
        <v>36</v>
      </c>
      <c r="D18" s="1">
        <v>141.6572</v>
      </c>
      <c r="E18" s="1">
        <v>139.0</v>
      </c>
    </row>
    <row r="19">
      <c r="B19" s="1" t="s">
        <v>27</v>
      </c>
      <c r="C19" s="1" t="s">
        <v>30</v>
      </c>
      <c r="D19" s="1">
        <v>160.0</v>
      </c>
      <c r="E19" s="1">
        <v>89.0</v>
      </c>
    </row>
    <row r="20">
      <c r="B20" s="1" t="s">
        <v>13</v>
      </c>
      <c r="C20" s="1" t="s">
        <v>14</v>
      </c>
      <c r="D20" s="1">
        <v>167.4172</v>
      </c>
      <c r="E20" s="1">
        <v>35.0</v>
      </c>
      <c r="J20" s="1" t="s">
        <v>47</v>
      </c>
    </row>
    <row r="21">
      <c r="A21" s="1" t="s">
        <v>44</v>
      </c>
      <c r="D21" s="5">
        <f>SUM(D17:D20)</f>
        <v>629.04</v>
      </c>
      <c r="E21" s="1">
        <v>100.0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63"/>
    <col customWidth="1" min="5" max="5" width="15.13"/>
  </cols>
  <sheetData>
    <row r="1">
      <c r="B1" s="1" t="s">
        <v>41</v>
      </c>
      <c r="C1" s="1" t="s">
        <v>6</v>
      </c>
    </row>
    <row r="2">
      <c r="B2" s="1" t="s">
        <v>42</v>
      </c>
      <c r="C2" s="1">
        <v>37.0</v>
      </c>
    </row>
    <row r="4">
      <c r="B4" s="4" t="s">
        <v>1</v>
      </c>
      <c r="C4" s="4" t="s">
        <v>43</v>
      </c>
      <c r="D4" s="4" t="s">
        <v>3</v>
      </c>
      <c r="E4" s="4" t="s">
        <v>4</v>
      </c>
      <c r="F4" s="4" t="s">
        <v>48</v>
      </c>
    </row>
    <row r="5">
      <c r="B5" s="1" t="s">
        <v>17</v>
      </c>
      <c r="C5" s="1" t="s">
        <v>24</v>
      </c>
      <c r="D5" s="1">
        <v>173.12</v>
      </c>
      <c r="E5" s="1">
        <v>10.0</v>
      </c>
    </row>
    <row r="6">
      <c r="B6" s="1" t="s">
        <v>33</v>
      </c>
      <c r="C6" s="1" t="s">
        <v>30</v>
      </c>
      <c r="D6" s="1">
        <v>166.2744</v>
      </c>
      <c r="E6" s="1">
        <v>20.0</v>
      </c>
    </row>
    <row r="7">
      <c r="B7" s="1" t="s">
        <v>27</v>
      </c>
      <c r="C7" s="1" t="s">
        <v>30</v>
      </c>
      <c r="D7" s="1">
        <v>159.4056</v>
      </c>
      <c r="E7" s="1">
        <v>32.0</v>
      </c>
    </row>
    <row r="8">
      <c r="B8" s="1" t="s">
        <v>13</v>
      </c>
      <c r="C8" s="1" t="s">
        <v>14</v>
      </c>
      <c r="D8" s="1">
        <v>160.5028</v>
      </c>
      <c r="E8" s="1">
        <v>26.0</v>
      </c>
    </row>
    <row r="9">
      <c r="A9" s="1" t="s">
        <v>44</v>
      </c>
      <c r="D9" s="5">
        <f>SUM(D5:D8)</f>
        <v>659.3028</v>
      </c>
      <c r="E9" s="1">
        <v>22.0</v>
      </c>
    </row>
    <row r="12">
      <c r="B12" s="1" t="s">
        <v>41</v>
      </c>
      <c r="C12" s="7" t="s">
        <v>7</v>
      </c>
    </row>
    <row r="13">
      <c r="B13" s="1" t="s">
        <v>42</v>
      </c>
      <c r="C13" s="1">
        <v>164.0</v>
      </c>
    </row>
    <row r="15">
      <c r="B15" s="4" t="s">
        <v>1</v>
      </c>
      <c r="C15" s="4" t="s">
        <v>43</v>
      </c>
      <c r="D15" s="4" t="s">
        <v>3</v>
      </c>
      <c r="E15" s="4" t="s">
        <v>4</v>
      </c>
      <c r="F15" s="6"/>
    </row>
    <row r="16">
      <c r="B16" s="1" t="s">
        <v>17</v>
      </c>
      <c r="C16" s="1" t="s">
        <v>18</v>
      </c>
      <c r="D16" s="1">
        <v>166.88</v>
      </c>
      <c r="E16" s="1">
        <v>51.0</v>
      </c>
    </row>
    <row r="17">
      <c r="B17" s="1" t="s">
        <v>33</v>
      </c>
      <c r="C17" s="1" t="s">
        <v>34</v>
      </c>
      <c r="D17" s="1">
        <v>153.7144</v>
      </c>
      <c r="E17" s="1">
        <v>134.0</v>
      </c>
    </row>
    <row r="18">
      <c r="B18" s="1" t="s">
        <v>27</v>
      </c>
      <c r="C18" s="1" t="s">
        <v>28</v>
      </c>
      <c r="D18" s="1">
        <v>156.5256</v>
      </c>
      <c r="E18" s="1">
        <v>130.0</v>
      </c>
    </row>
    <row r="19">
      <c r="B19" s="1" t="s">
        <v>13</v>
      </c>
      <c r="C19" s="1" t="s">
        <v>14</v>
      </c>
      <c r="D19" s="1">
        <v>172.64</v>
      </c>
      <c r="E19" s="1">
        <v>13.0</v>
      </c>
    </row>
    <row r="20">
      <c r="A20" s="1" t="s">
        <v>44</v>
      </c>
      <c r="D20" s="5">
        <f>SUM(D16:D19)</f>
        <v>649.76</v>
      </c>
      <c r="E20" s="1">
        <v>85.0</v>
      </c>
    </row>
    <row r="21">
      <c r="B21" s="1" t="s">
        <v>49</v>
      </c>
      <c r="D21" s="1">
        <v>157.7256</v>
      </c>
      <c r="E21" s="1" t="s">
        <v>50</v>
      </c>
    </row>
    <row r="22">
      <c r="B22" s="1" t="s">
        <v>51</v>
      </c>
      <c r="D22" s="1">
        <v>164.56</v>
      </c>
      <c r="E22" s="1" t="s">
        <v>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63"/>
    <col customWidth="1" min="5" max="5" width="15.13"/>
  </cols>
  <sheetData>
    <row r="1">
      <c r="B1" s="1" t="s">
        <v>41</v>
      </c>
      <c r="C1" s="1" t="s">
        <v>6</v>
      </c>
    </row>
    <row r="2">
      <c r="B2" s="1" t="s">
        <v>42</v>
      </c>
      <c r="C2" s="1">
        <v>38.0</v>
      </c>
    </row>
    <row r="4">
      <c r="B4" s="4" t="s">
        <v>1</v>
      </c>
      <c r="C4" s="4" t="s">
        <v>43</v>
      </c>
      <c r="D4" s="4" t="s">
        <v>3</v>
      </c>
      <c r="E4" s="4" t="s">
        <v>4</v>
      </c>
      <c r="F4" s="4" t="s">
        <v>48</v>
      </c>
    </row>
    <row r="5">
      <c r="B5" s="1" t="s">
        <v>17</v>
      </c>
      <c r="C5" s="1" t="s">
        <v>24</v>
      </c>
      <c r="D5" s="1">
        <v>168.5372</v>
      </c>
      <c r="E5" s="1">
        <v>25.0</v>
      </c>
    </row>
    <row r="6">
      <c r="B6" s="1" t="s">
        <v>33</v>
      </c>
      <c r="C6" s="1" t="s">
        <v>36</v>
      </c>
      <c r="D6" s="1">
        <v>151.92</v>
      </c>
      <c r="E6" s="1">
        <v>36.0</v>
      </c>
    </row>
    <row r="7">
      <c r="B7" s="1" t="s">
        <v>27</v>
      </c>
      <c r="C7" s="1" t="s">
        <v>30</v>
      </c>
      <c r="D7" s="1">
        <v>162.8</v>
      </c>
      <c r="E7" s="1">
        <v>28.0</v>
      </c>
    </row>
    <row r="8">
      <c r="B8" s="1" t="s">
        <v>13</v>
      </c>
      <c r="C8" s="1" t="s">
        <v>14</v>
      </c>
      <c r="D8" s="1">
        <v>162.2628</v>
      </c>
      <c r="E8" s="1">
        <v>22.0</v>
      </c>
    </row>
    <row r="9">
      <c r="A9" s="1" t="s">
        <v>44</v>
      </c>
      <c r="D9" s="5">
        <f>SUM(D5:D8)</f>
        <v>645.52</v>
      </c>
      <c r="E9" s="1">
        <v>29.0</v>
      </c>
    </row>
    <row r="10">
      <c r="B10" s="1" t="s">
        <v>45</v>
      </c>
      <c r="C10" s="1" t="s">
        <v>36</v>
      </c>
      <c r="D10" s="1">
        <v>169.7028</v>
      </c>
      <c r="E10" s="8">
        <v>45608.0</v>
      </c>
    </row>
    <row r="12">
      <c r="B12" s="1" t="s">
        <v>41</v>
      </c>
      <c r="C12" s="7" t="s">
        <v>7</v>
      </c>
    </row>
    <row r="13">
      <c r="B13" s="1" t="s">
        <v>42</v>
      </c>
      <c r="C13" s="1">
        <v>167.0</v>
      </c>
    </row>
    <row r="15">
      <c r="B15" s="4" t="s">
        <v>1</v>
      </c>
      <c r="C15" s="4" t="s">
        <v>43</v>
      </c>
      <c r="D15" s="4" t="s">
        <v>3</v>
      </c>
      <c r="E15" s="4" t="s">
        <v>4</v>
      </c>
      <c r="F15" s="6"/>
    </row>
    <row r="16">
      <c r="B16" s="1" t="s">
        <v>17</v>
      </c>
      <c r="C16" s="1" t="s">
        <v>24</v>
      </c>
      <c r="D16" s="1">
        <v>159.3828</v>
      </c>
      <c r="E16" s="1">
        <v>117.0</v>
      </c>
    </row>
    <row r="17">
      <c r="B17" s="1" t="s">
        <v>33</v>
      </c>
      <c r="C17" s="1" t="s">
        <v>36</v>
      </c>
      <c r="D17" s="1">
        <v>169.7144</v>
      </c>
      <c r="E17" s="1">
        <v>42.0</v>
      </c>
    </row>
    <row r="18">
      <c r="B18" s="1" t="s">
        <v>27</v>
      </c>
      <c r="C18" s="1" t="s">
        <v>22</v>
      </c>
      <c r="D18" s="1">
        <v>161.0972</v>
      </c>
      <c r="E18" s="1">
        <v>113.0</v>
      </c>
    </row>
    <row r="19">
      <c r="B19" s="1" t="s">
        <v>13</v>
      </c>
      <c r="C19" s="1" t="s">
        <v>14</v>
      </c>
      <c r="D19" s="1">
        <v>167.9656</v>
      </c>
      <c r="E19" s="1">
        <v>38.0</v>
      </c>
    </row>
    <row r="20">
      <c r="A20" s="1" t="s">
        <v>44</v>
      </c>
      <c r="D20" s="5">
        <f>SUM(D16:D19)</f>
        <v>658.16</v>
      </c>
      <c r="E20" s="1">
        <v>63.0</v>
      </c>
    </row>
    <row r="21">
      <c r="B21" s="1" t="s">
        <v>49</v>
      </c>
      <c r="D21" s="1">
        <v>165.7144</v>
      </c>
      <c r="E21" s="1" t="s">
        <v>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63"/>
    <col customWidth="1" min="5" max="5" width="15.13"/>
  </cols>
  <sheetData>
    <row r="1">
      <c r="B1" s="1" t="s">
        <v>41</v>
      </c>
      <c r="C1" s="1" t="s">
        <v>7</v>
      </c>
    </row>
    <row r="2">
      <c r="B2" s="1" t="s">
        <v>42</v>
      </c>
      <c r="C2" s="1">
        <v>172.0</v>
      </c>
    </row>
    <row r="4">
      <c r="B4" s="4" t="s">
        <v>1</v>
      </c>
      <c r="C4" s="4" t="s">
        <v>43</v>
      </c>
      <c r="D4" s="4" t="s">
        <v>3</v>
      </c>
      <c r="E4" s="4" t="s">
        <v>4</v>
      </c>
      <c r="F4" s="6"/>
    </row>
    <row r="5">
      <c r="B5" s="1" t="s">
        <v>17</v>
      </c>
      <c r="C5" s="1" t="s">
        <v>24</v>
      </c>
      <c r="D5" s="1">
        <v>161.1428</v>
      </c>
      <c r="E5" s="1">
        <v>98.0</v>
      </c>
    </row>
    <row r="6">
      <c r="B6" s="1" t="s">
        <v>33</v>
      </c>
      <c r="C6" s="1" t="s">
        <v>36</v>
      </c>
      <c r="D6" s="1">
        <v>159.3828</v>
      </c>
      <c r="E6" s="1">
        <v>111.0</v>
      </c>
    </row>
    <row r="7">
      <c r="B7" s="1" t="s">
        <v>27</v>
      </c>
      <c r="C7" s="1" t="s">
        <v>30</v>
      </c>
      <c r="D7" s="1">
        <v>169.7028</v>
      </c>
      <c r="E7" s="1">
        <v>42.0</v>
      </c>
    </row>
    <row r="8">
      <c r="B8" s="1" t="s">
        <v>13</v>
      </c>
      <c r="C8" s="1" t="s">
        <v>14</v>
      </c>
      <c r="D8" s="1">
        <v>174.2972</v>
      </c>
      <c r="E8" s="1">
        <v>7.0</v>
      </c>
    </row>
    <row r="9">
      <c r="A9" s="1" t="s">
        <v>44</v>
      </c>
      <c r="D9" s="5">
        <f>SUM(D5:D8)</f>
        <v>664.5256</v>
      </c>
      <c r="E9" s="1">
        <v>56.0</v>
      </c>
    </row>
    <row r="10">
      <c r="B10" s="1" t="s">
        <v>45</v>
      </c>
      <c r="C10" s="1" t="s">
        <v>36</v>
      </c>
      <c r="D10" s="1">
        <v>166.8228</v>
      </c>
      <c r="E10" s="1" t="s">
        <v>54</v>
      </c>
    </row>
    <row r="12">
      <c r="B12" s="1"/>
      <c r="C12" s="7"/>
    </row>
    <row r="13">
      <c r="B13" s="1" t="s">
        <v>41</v>
      </c>
      <c r="C13" s="1" t="s">
        <v>8</v>
      </c>
    </row>
    <row r="14">
      <c r="B14" s="1" t="s">
        <v>42</v>
      </c>
      <c r="C14" s="1">
        <v>46.0</v>
      </c>
    </row>
    <row r="16">
      <c r="B16" s="4" t="s">
        <v>1</v>
      </c>
      <c r="C16" s="4" t="s">
        <v>43</v>
      </c>
      <c r="D16" s="4" t="s">
        <v>3</v>
      </c>
      <c r="E16" s="4" t="s">
        <v>4</v>
      </c>
    </row>
    <row r="17">
      <c r="B17" s="1" t="s">
        <v>17</v>
      </c>
      <c r="C17" s="1" t="s">
        <v>20</v>
      </c>
      <c r="D17" s="1">
        <v>154.8228</v>
      </c>
      <c r="E17" s="1">
        <v>41.0</v>
      </c>
    </row>
    <row r="18">
      <c r="B18" s="1" t="s">
        <v>33</v>
      </c>
      <c r="C18" s="1" t="s">
        <v>36</v>
      </c>
      <c r="D18" s="1">
        <v>157.0628</v>
      </c>
      <c r="E18" s="1">
        <v>39.0</v>
      </c>
    </row>
    <row r="19">
      <c r="B19" s="1" t="s">
        <v>27</v>
      </c>
      <c r="C19" s="1" t="s">
        <v>30</v>
      </c>
      <c r="D19" s="1">
        <v>173.12</v>
      </c>
      <c r="E19" s="1">
        <v>16.0</v>
      </c>
    </row>
    <row r="20">
      <c r="B20" s="1" t="s">
        <v>13</v>
      </c>
      <c r="C20" s="1" t="s">
        <v>14</v>
      </c>
      <c r="D20" s="1">
        <v>172.0</v>
      </c>
      <c r="E20" s="1">
        <v>12.0</v>
      </c>
    </row>
    <row r="21">
      <c r="A21" s="1" t="s">
        <v>44</v>
      </c>
      <c r="D21" s="5">
        <f>SUM(D17:D20)</f>
        <v>657.0056</v>
      </c>
      <c r="E21" s="1">
        <v>33.0</v>
      </c>
    </row>
    <row r="22">
      <c r="B22" s="1" t="s">
        <v>45</v>
      </c>
      <c r="C22" s="1" t="s">
        <v>55</v>
      </c>
      <c r="D22" s="1">
        <v>176.56</v>
      </c>
      <c r="E22" s="1" t="s">
        <v>56</v>
      </c>
    </row>
    <row r="23">
      <c r="B23" s="1" t="s">
        <v>51</v>
      </c>
      <c r="C23" s="7" t="s">
        <v>22</v>
      </c>
      <c r="D23" s="1">
        <v>160.56</v>
      </c>
      <c r="E23" s="1" t="s">
        <v>57</v>
      </c>
    </row>
    <row r="24">
      <c r="B24" s="1"/>
      <c r="C24" s="7"/>
    </row>
    <row r="25">
      <c r="B25" s="1"/>
      <c r="C25" s="7"/>
    </row>
    <row r="26">
      <c r="B26" s="1"/>
      <c r="C26" s="7"/>
    </row>
    <row r="27">
      <c r="B27" s="1"/>
      <c r="C27" s="7"/>
    </row>
    <row r="28">
      <c r="B28" s="1" t="s">
        <v>41</v>
      </c>
      <c r="C28" s="3" t="s">
        <v>9</v>
      </c>
    </row>
    <row r="29">
      <c r="B29" s="1" t="s">
        <v>42</v>
      </c>
      <c r="C29" s="1">
        <v>444.0</v>
      </c>
    </row>
    <row r="31">
      <c r="B31" s="4" t="s">
        <v>1</v>
      </c>
      <c r="C31" s="4" t="s">
        <v>43</v>
      </c>
      <c r="D31" s="4" t="s">
        <v>3</v>
      </c>
      <c r="E31" s="4" t="s">
        <v>4</v>
      </c>
      <c r="F31" s="6"/>
    </row>
    <row r="32">
      <c r="B32" s="1" t="s">
        <v>17</v>
      </c>
      <c r="C32" s="1" t="s">
        <v>24</v>
      </c>
      <c r="D32" s="1">
        <v>166.8228</v>
      </c>
      <c r="E32" s="1">
        <v>278.0</v>
      </c>
    </row>
    <row r="33">
      <c r="B33" s="1" t="s">
        <v>33</v>
      </c>
      <c r="C33" s="1" t="s">
        <v>36</v>
      </c>
      <c r="D33" s="1">
        <v>160.5256</v>
      </c>
      <c r="E33" s="1">
        <v>373.0</v>
      </c>
    </row>
    <row r="34">
      <c r="B34" s="1" t="s">
        <v>27</v>
      </c>
      <c r="C34" s="1" t="s">
        <v>22</v>
      </c>
      <c r="D34" s="1">
        <v>165.7028</v>
      </c>
      <c r="E34" s="1">
        <v>281.0</v>
      </c>
    </row>
    <row r="35">
      <c r="B35" s="1" t="s">
        <v>13</v>
      </c>
      <c r="C35" s="1" t="s">
        <v>14</v>
      </c>
      <c r="D35" s="1">
        <v>166.2628</v>
      </c>
      <c r="E35" s="1">
        <v>244.0</v>
      </c>
    </row>
    <row r="36">
      <c r="A36" s="1" t="s">
        <v>44</v>
      </c>
      <c r="B36" s="1" t="s">
        <v>44</v>
      </c>
      <c r="D36" s="5">
        <f>SUM(D32:D35)</f>
        <v>659.314</v>
      </c>
      <c r="E36" s="1">
        <v>316.0</v>
      </c>
    </row>
    <row r="37">
      <c r="B37" s="4" t="s">
        <v>58</v>
      </c>
      <c r="C37" s="4" t="s">
        <v>43</v>
      </c>
      <c r="D37" s="4" t="s">
        <v>3</v>
      </c>
      <c r="E37" s="4" t="s">
        <v>4</v>
      </c>
    </row>
    <row r="38">
      <c r="B38" s="1" t="s">
        <v>59</v>
      </c>
      <c r="D38" s="1">
        <v>165.1084</v>
      </c>
      <c r="E38" s="1" t="s">
        <v>60</v>
      </c>
    </row>
    <row r="39">
      <c r="B39" s="1" t="s">
        <v>51</v>
      </c>
      <c r="D39" s="1">
        <v>167.4056</v>
      </c>
      <c r="E39" s="1" t="s">
        <v>61</v>
      </c>
    </row>
    <row r="40">
      <c r="B40" s="9" t="s">
        <v>62</v>
      </c>
      <c r="C40" s="10"/>
      <c r="D40" s="9">
        <v>173.7028</v>
      </c>
      <c r="E40" s="9" t="s">
        <v>63</v>
      </c>
    </row>
    <row r="41">
      <c r="B41" s="9" t="s">
        <v>64</v>
      </c>
      <c r="C41" s="10"/>
      <c r="D41" s="9">
        <v>161.7028</v>
      </c>
      <c r="E41" s="9" t="s">
        <v>65</v>
      </c>
    </row>
    <row r="42">
      <c r="B42" s="9" t="s">
        <v>66</v>
      </c>
      <c r="C42" s="10"/>
      <c r="D42" s="9">
        <v>154.2172</v>
      </c>
      <c r="E42" s="9" t="s">
        <v>67</v>
      </c>
    </row>
    <row r="43">
      <c r="B43" s="9" t="s">
        <v>68</v>
      </c>
      <c r="C43" s="10"/>
      <c r="D43" s="10">
        <f>SUM(D40:D42)</f>
        <v>489.6228</v>
      </c>
      <c r="E43" s="9">
        <v>132.0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63"/>
    <col customWidth="1" min="5" max="5" width="15.13"/>
  </cols>
  <sheetData>
    <row r="1">
      <c r="B1" s="1" t="s">
        <v>41</v>
      </c>
      <c r="C1" s="1" t="s">
        <v>7</v>
      </c>
    </row>
    <row r="2">
      <c r="B2" s="1" t="s">
        <v>42</v>
      </c>
      <c r="C2" s="1">
        <v>159.0</v>
      </c>
    </row>
    <row r="4">
      <c r="B4" s="4" t="s">
        <v>1</v>
      </c>
      <c r="C4" s="4" t="s">
        <v>43</v>
      </c>
      <c r="D4" s="4" t="s">
        <v>3</v>
      </c>
      <c r="E4" s="4" t="s">
        <v>4</v>
      </c>
      <c r="F4" s="6"/>
    </row>
    <row r="5">
      <c r="B5" s="1" t="s">
        <v>17</v>
      </c>
      <c r="C5" s="1" t="s">
        <v>24</v>
      </c>
      <c r="D5" s="1">
        <v>152.0</v>
      </c>
      <c r="E5" s="1">
        <v>148.0</v>
      </c>
    </row>
    <row r="6">
      <c r="B6" s="1" t="s">
        <v>33</v>
      </c>
      <c r="C6" s="1" t="s">
        <v>36</v>
      </c>
      <c r="D6" s="1">
        <v>157.0972</v>
      </c>
      <c r="E6" s="1">
        <v>124.0</v>
      </c>
    </row>
    <row r="7">
      <c r="B7" s="1" t="s">
        <v>27</v>
      </c>
      <c r="C7" s="1" t="s">
        <v>30</v>
      </c>
      <c r="D7" s="1">
        <v>169.7028</v>
      </c>
      <c r="E7" s="1">
        <v>48.0</v>
      </c>
    </row>
    <row r="8">
      <c r="B8" s="1" t="s">
        <v>13</v>
      </c>
      <c r="C8" s="1" t="s">
        <v>14</v>
      </c>
      <c r="D8" s="1">
        <v>173.7028</v>
      </c>
      <c r="E8" s="1">
        <v>15.0</v>
      </c>
    </row>
    <row r="9">
      <c r="A9" s="1" t="s">
        <v>44</v>
      </c>
      <c r="D9" s="5">
        <f>SUM(D5:D8)</f>
        <v>652.5028</v>
      </c>
      <c r="E9" s="1">
        <v>89.0</v>
      </c>
    </row>
    <row r="10">
      <c r="B10" s="1" t="s">
        <v>51</v>
      </c>
      <c r="C10" s="1" t="s">
        <v>36</v>
      </c>
      <c r="D10" s="1">
        <v>174.2856</v>
      </c>
      <c r="E10" s="1" t="s">
        <v>69</v>
      </c>
    </row>
    <row r="11">
      <c r="B11" s="1" t="s">
        <v>49</v>
      </c>
      <c r="C11" s="1" t="s">
        <v>14</v>
      </c>
      <c r="D11" s="1">
        <v>180.0</v>
      </c>
      <c r="E11" s="1" t="s">
        <v>70</v>
      </c>
    </row>
    <row r="12">
      <c r="B12" s="1" t="s">
        <v>71</v>
      </c>
      <c r="C12" s="7" t="s">
        <v>30</v>
      </c>
      <c r="D12" s="1">
        <v>173.1656</v>
      </c>
      <c r="E12" s="1" t="s">
        <v>72</v>
      </c>
    </row>
    <row r="13">
      <c r="B13" s="1"/>
      <c r="C13" s="1"/>
    </row>
    <row r="14">
      <c r="B14" s="1" t="s">
        <v>41</v>
      </c>
      <c r="C14" s="1" t="s">
        <v>8</v>
      </c>
    </row>
    <row r="15">
      <c r="B15" s="1" t="s">
        <v>42</v>
      </c>
      <c r="C15" s="1">
        <v>53.0</v>
      </c>
    </row>
    <row r="17">
      <c r="B17" s="4" t="s">
        <v>1</v>
      </c>
      <c r="C17" s="4" t="s">
        <v>43</v>
      </c>
      <c r="D17" s="4" t="s">
        <v>3</v>
      </c>
      <c r="E17" s="4" t="s">
        <v>4</v>
      </c>
    </row>
    <row r="18">
      <c r="B18" s="1" t="s">
        <v>17</v>
      </c>
      <c r="C18" s="1" t="s">
        <v>22</v>
      </c>
      <c r="D18" s="1">
        <v>172.0</v>
      </c>
      <c r="E18" s="1">
        <v>29.0</v>
      </c>
    </row>
    <row r="19">
      <c r="B19" s="1" t="s">
        <v>33</v>
      </c>
      <c r="C19" s="1" t="s">
        <v>36</v>
      </c>
      <c r="D19" s="1">
        <v>166.8228</v>
      </c>
      <c r="E19" s="1">
        <v>38.0</v>
      </c>
    </row>
    <row r="20">
      <c r="B20" s="1" t="s">
        <v>27</v>
      </c>
      <c r="C20" s="1" t="s">
        <v>30</v>
      </c>
      <c r="D20" s="1">
        <v>165.6684</v>
      </c>
      <c r="E20" s="1">
        <v>42.0</v>
      </c>
    </row>
    <row r="21">
      <c r="B21" s="1" t="s">
        <v>13</v>
      </c>
      <c r="C21" s="1" t="s">
        <v>14</v>
      </c>
      <c r="D21" s="1">
        <v>169.68</v>
      </c>
      <c r="E21" s="1">
        <v>29.0</v>
      </c>
    </row>
    <row r="22">
      <c r="A22" s="1" t="s">
        <v>44</v>
      </c>
      <c r="D22" s="5">
        <f>SUM(D18:D21)</f>
        <v>674.1712</v>
      </c>
      <c r="E22" s="1">
        <v>33.0</v>
      </c>
    </row>
    <row r="23">
      <c r="B23" s="1" t="s">
        <v>51</v>
      </c>
      <c r="C23" s="7" t="s">
        <v>36</v>
      </c>
      <c r="D23" s="1">
        <v>162.7884</v>
      </c>
      <c r="E23" s="1" t="s">
        <v>73</v>
      </c>
    </row>
    <row r="25">
      <c r="B25" s="1" t="s">
        <v>41</v>
      </c>
      <c r="C25" s="1" t="s">
        <v>10</v>
      </c>
    </row>
    <row r="26">
      <c r="B26" s="1" t="s">
        <v>42</v>
      </c>
      <c r="C26" s="1">
        <v>21.0</v>
      </c>
    </row>
    <row r="28">
      <c r="B28" s="4" t="s">
        <v>1</v>
      </c>
      <c r="C28" s="4" t="s">
        <v>43</v>
      </c>
      <c r="D28" s="4" t="s">
        <v>3</v>
      </c>
      <c r="E28" s="4" t="s">
        <v>4</v>
      </c>
    </row>
    <row r="29">
      <c r="B29" s="1" t="s">
        <v>17</v>
      </c>
      <c r="C29" s="1" t="s">
        <v>24</v>
      </c>
      <c r="D29" s="1">
        <v>169.7144</v>
      </c>
      <c r="E29" s="1">
        <v>9.0</v>
      </c>
    </row>
    <row r="30">
      <c r="B30" s="1" t="s">
        <v>33</v>
      </c>
      <c r="C30" s="1" t="s">
        <v>36</v>
      </c>
      <c r="D30" s="1">
        <v>166.24</v>
      </c>
      <c r="E30" s="1">
        <v>15.0</v>
      </c>
    </row>
    <row r="31">
      <c r="B31" s="1" t="s">
        <v>27</v>
      </c>
      <c r="C31" s="1" t="s">
        <v>30</v>
      </c>
      <c r="D31" s="1">
        <v>162.8228</v>
      </c>
      <c r="E31" s="1">
        <v>18.0</v>
      </c>
    </row>
    <row r="32">
      <c r="B32" s="1" t="s">
        <v>13</v>
      </c>
      <c r="C32" s="1" t="s">
        <v>14</v>
      </c>
      <c r="D32" s="1">
        <v>174.2744</v>
      </c>
      <c r="E32" s="1">
        <v>5.0</v>
      </c>
    </row>
    <row r="33">
      <c r="A33" s="1" t="s">
        <v>44</v>
      </c>
      <c r="D33" s="5">
        <f>SUM(D29:D32)</f>
        <v>673.0516</v>
      </c>
      <c r="E33" s="1">
        <v>14.0</v>
      </c>
    </row>
    <row r="34">
      <c r="C34" s="7"/>
    </row>
    <row r="35">
      <c r="B35" s="1" t="s">
        <v>41</v>
      </c>
      <c r="C35" s="3" t="s">
        <v>9</v>
      </c>
    </row>
    <row r="36">
      <c r="B36" s="1" t="s">
        <v>42</v>
      </c>
      <c r="C36" s="1">
        <v>401.0</v>
      </c>
    </row>
    <row r="37">
      <c r="B37" s="1" t="s">
        <v>74</v>
      </c>
      <c r="C37" s="1">
        <v>708.5488</v>
      </c>
    </row>
    <row r="38">
      <c r="B38" s="4" t="s">
        <v>1</v>
      </c>
      <c r="C38" s="4" t="s">
        <v>43</v>
      </c>
      <c r="D38" s="4" t="s">
        <v>3</v>
      </c>
      <c r="E38" s="4" t="s">
        <v>4</v>
      </c>
      <c r="F38" s="6"/>
    </row>
    <row r="39">
      <c r="B39" s="1" t="s">
        <v>17</v>
      </c>
      <c r="C39" s="1" t="s">
        <v>24</v>
      </c>
      <c r="D39" s="1">
        <v>173.7144</v>
      </c>
      <c r="E39" s="1">
        <v>112.0</v>
      </c>
    </row>
    <row r="40">
      <c r="B40" s="1" t="s">
        <v>33</v>
      </c>
      <c r="C40" s="1" t="s">
        <v>36</v>
      </c>
      <c r="D40" s="1">
        <v>174.8456</v>
      </c>
      <c r="E40" s="1">
        <v>71.0</v>
      </c>
    </row>
    <row r="41">
      <c r="B41" s="1" t="s">
        <v>27</v>
      </c>
      <c r="C41" s="1" t="s">
        <v>30</v>
      </c>
      <c r="D41" s="1">
        <v>165.0856</v>
      </c>
      <c r="E41" s="1">
        <v>293.0</v>
      </c>
    </row>
    <row r="42">
      <c r="B42" s="1" t="s">
        <v>13</v>
      </c>
      <c r="C42" s="1" t="s">
        <v>14</v>
      </c>
      <c r="D42" s="1">
        <v>165.1084</v>
      </c>
      <c r="E42" s="1">
        <v>254.0</v>
      </c>
    </row>
    <row r="43">
      <c r="A43" s="1" t="s">
        <v>44</v>
      </c>
      <c r="D43" s="5">
        <f>SUM(D39:D42)</f>
        <v>678.754</v>
      </c>
      <c r="E43" s="1">
        <v>193.0</v>
      </c>
    </row>
    <row r="44">
      <c r="B44" s="1" t="s">
        <v>59</v>
      </c>
      <c r="C44" s="1" t="s">
        <v>30</v>
      </c>
      <c r="D44" s="1">
        <v>173.1656</v>
      </c>
      <c r="E44" s="1" t="s">
        <v>75</v>
      </c>
    </row>
    <row r="45">
      <c r="B45" s="1" t="s">
        <v>51</v>
      </c>
      <c r="C45" s="1" t="s">
        <v>36</v>
      </c>
      <c r="D45" s="1">
        <v>171.4172</v>
      </c>
      <c r="E45" s="1" t="s">
        <v>76</v>
      </c>
    </row>
    <row r="46">
      <c r="B46" s="1" t="s">
        <v>62</v>
      </c>
      <c r="C46" s="1" t="s">
        <v>24</v>
      </c>
      <c r="D46" s="1">
        <v>170.8572</v>
      </c>
      <c r="E46" s="1" t="s">
        <v>77</v>
      </c>
    </row>
    <row r="47">
      <c r="B47" s="1" t="s">
        <v>64</v>
      </c>
      <c r="C47" s="1" t="s">
        <v>14</v>
      </c>
      <c r="D47" s="1">
        <v>172.56</v>
      </c>
      <c r="E47" s="1" t="s">
        <v>78</v>
      </c>
    </row>
    <row r="48">
      <c r="B48" s="1" t="s">
        <v>66</v>
      </c>
      <c r="C48" s="1" t="s">
        <v>24</v>
      </c>
      <c r="D48" s="1">
        <v>171.9656</v>
      </c>
      <c r="E48" s="1" t="s">
        <v>79</v>
      </c>
    </row>
  </sheetData>
  <drawing r:id="rId1"/>
</worksheet>
</file>